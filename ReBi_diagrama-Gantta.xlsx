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working\waccache\WA1PEPF0000A133\EXCELCNV\b06f2722-72b7-4424-ab68-fb999a2be9e8\"/>
    </mc:Choice>
  </mc:AlternateContent>
  <xr:revisionPtr revIDLastSave="0" documentId="8_{FD78F6D8-AF71-43C9-ABAE-088DA9B68FD6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📊 Диаграмма Ганта (Девелопмент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" l="1"/>
  <c r="F65" i="1"/>
  <c r="F59" i="1"/>
  <c r="F53" i="1"/>
  <c r="F47" i="1"/>
  <c r="F40" i="1"/>
  <c r="F33" i="1"/>
  <c r="F26" i="1"/>
  <c r="F18" i="1"/>
  <c r="F10" i="1"/>
  <c r="F79" i="1" s="1"/>
</calcChain>
</file>

<file path=xl/sharedStrings.xml><?xml version="1.0" encoding="utf-8"?>
<sst xmlns="http://schemas.openxmlformats.org/spreadsheetml/2006/main" count="623" uniqueCount="267">
  <si>
    <t>Діаграма Ганта ReBike</t>
  </si>
  <si>
    <t xml:space="preserve"> План-графік розробки проекту з бюджетуванням годин, виконавицями та зв'язками між задачами</t>
  </si>
  <si>
    <t>Назва проекту / Фази:  Розробка веб-платформи оренди електротранспорту ReBi</t>
  </si>
  <si>
    <t>Географія та запуск:  м. Львів (UA / EN)</t>
  </si>
  <si>
    <t>Загальна тривалість:  70 днів (10 тижнів)</t>
  </si>
  <si>
    <t>Моделі оренди:  Погодинна / Подобова / Кур'єрська (місяць+)</t>
  </si>
  <si>
    <t>Бюджет робочого часу:  391 люд./год (2 розробники)</t>
  </si>
  <si>
    <t>Головні інтеграції:  LiqPay (Hold застави), Google Maps, IoT GPS</t>
  </si>
  <si>
    <t>WBS</t>
  </si>
  <si>
    <t>Назва завдання / Фази</t>
  </si>
  <si>
    <t>Тривалість</t>
  </si>
  <si>
    <t>Початок</t>
  </si>
  <si>
    <t>Завершення</t>
  </si>
  <si>
    <t>Години</t>
  </si>
  <si>
    <t>Попередник</t>
  </si>
  <si>
    <t>Спринт 1 (12.10 - 18.10)</t>
  </si>
  <si>
    <t>Спринт 2 (19.10 - 25.10)</t>
  </si>
  <si>
    <t>Спринт 3 (26.10 - 01.11)</t>
  </si>
  <si>
    <t>Спринт 4 (02.11 - 08.11)</t>
  </si>
  <si>
    <t>Спринт 5 (09.11 - 15.11)</t>
  </si>
  <si>
    <t>Спринт 6 (16.11 - 22.11)</t>
  </si>
  <si>
    <t>Спринт 7 (23.11 - 29.11)</t>
  </si>
  <si>
    <t>Спринт 8 (30.11 - 06.12)</t>
  </si>
  <si>
    <t>Спринт 9 (07.12 - 13.12)</t>
  </si>
  <si>
    <t>Спринт 10 (14.12 - 20.12)</t>
  </si>
  <si>
    <t>Д1</t>
  </si>
  <si>
    <t>Д2</t>
  </si>
  <si>
    <t>Д3</t>
  </si>
  <si>
    <t>Д4</t>
  </si>
  <si>
    <t>Д5</t>
  </si>
  <si>
    <t>1</t>
  </si>
  <si>
    <t>Етап 1. UX/UI Дизайн (Figma) &amp; DevOps</t>
  </si>
  <si>
    <t>7 днів</t>
  </si>
  <si>
    <t>12.10.2026</t>
  </si>
  <si>
    <t>18.10.2026</t>
  </si>
  <si>
    <t>-</t>
  </si>
  <si>
    <t>◤</t>
  </si>
  <si>
    <t>36h</t>
  </si>
  <si>
    <t>◥</t>
  </si>
  <si>
    <t>1.1</t>
  </si>
  <si>
    <t xml:space="preserve">    • Wireframes: Головна + Каталог (Mobile/Desktop)</t>
  </si>
  <si>
    <t>2 дн.</t>
  </si>
  <si>
    <t>13.10.2026</t>
  </si>
  <si>
    <t>2h</t>
  </si>
  <si>
    <t>►</t>
  </si>
  <si>
    <t>1.2</t>
  </si>
  <si>
    <t xml:space="preserve">    • Wireframes: Картка транспорту та Бронювання</t>
  </si>
  <si>
    <t>3 дн.</t>
  </si>
  <si>
    <t>15.10.2026</t>
  </si>
  <si>
    <t>6h</t>
  </si>
  <si>
    <t>1.3</t>
  </si>
  <si>
    <t xml:space="preserve">    • Wireframes: Кабінет орендаря &amp; Дашборд</t>
  </si>
  <si>
    <t>14.10.2026</t>
  </si>
  <si>
    <t>16.10.2026</t>
  </si>
  <si>
    <t>5h</t>
  </si>
  <si>
    <t>1.4</t>
  </si>
  <si>
    <t xml:space="preserve">    • UI/UX: Премодерація &amp; CMS Адміністрування</t>
  </si>
  <si>
    <t>17.10.2026</t>
  </si>
  <si>
    <t>7h</t>
  </si>
  <si>
    <t>1.5</t>
  </si>
  <si>
    <t xml:space="preserve">    • UI Kit: Компоненти, Стилі та Стани</t>
  </si>
  <si>
    <t>1.6</t>
  </si>
  <si>
    <t xml:space="preserve">    • DevOps: Репозиторій, Docker &amp; CI/CD</t>
  </si>
  <si>
    <t>4 дн.</t>
  </si>
  <si>
    <t>1.7</t>
  </si>
  <si>
    <t xml:space="preserve">    • DevOps: SSL, Nginx &amp; Базовий захист</t>
  </si>
  <si>
    <t>2</t>
  </si>
  <si>
    <t>Етап 2. UI Макети &amp; Архітектура БД</t>
  </si>
  <si>
    <t>19.10.2026</t>
  </si>
  <si>
    <t>25.10.2026</t>
  </si>
  <si>
    <t>38h</t>
  </si>
  <si>
    <t>2.1</t>
  </si>
  <si>
    <t xml:space="preserve">    • UI: Каталог та Шторка фільтрів (Mobile First)</t>
  </si>
  <si>
    <t>21.10.2026</t>
  </si>
  <si>
    <t>2.2</t>
  </si>
  <si>
    <t xml:space="preserve">    • UI: Картка транспорту та Модалка бронювання</t>
  </si>
  <si>
    <t>20.10.2026</t>
  </si>
  <si>
    <t>22.10.2026</t>
  </si>
  <si>
    <t>2.3</t>
  </si>
  <si>
    <t xml:space="preserve">    • UI: Панель орендодавця &amp; Календар</t>
  </si>
  <si>
    <t>24.10.2026</t>
  </si>
  <si>
    <t>2.4</t>
  </si>
  <si>
    <t xml:space="preserve">    • БД: Користувачі, ролі &amp; двосторонній рейтинг</t>
  </si>
  <si>
    <t>4h</t>
  </si>
  <si>
    <t>2.5</t>
  </si>
  <si>
    <t xml:space="preserve">    • БД: Транспорт, ТТХ, модерація &amp; документи</t>
  </si>
  <si>
    <t>23.10.2026</t>
  </si>
  <si>
    <t>2.6</t>
  </si>
  <si>
    <t xml:space="preserve">    • БД: Локації, аксесуари &amp; довідники</t>
  </si>
  <si>
    <t>2.7</t>
  </si>
  <si>
    <t xml:space="preserve">    • БД: Бронювання, застава &amp; транзакції</t>
  </si>
  <si>
    <t>3</t>
  </si>
  <si>
    <t>Етап 3. Авторизація, Безпека &amp; i18n</t>
  </si>
  <si>
    <t>26.10.2026</t>
  </si>
  <si>
    <t>01.11.2026</t>
  </si>
  <si>
    <t>39h</t>
  </si>
  <si>
    <t>3.1</t>
  </si>
  <si>
    <t xml:space="preserve">    • БД: Відгуки, оцінки &amp; чорний список</t>
  </si>
  <si>
    <t>27.10.2026</t>
  </si>
  <si>
    <t>3.2</t>
  </si>
  <si>
    <t xml:space="preserve">    • Інтеграція Google OAuth 2.0</t>
  </si>
  <si>
    <t>29.10.2026</t>
  </si>
  <si>
    <t>3.3</t>
  </si>
  <si>
    <t xml:space="preserve">    • Інтеграція Apple Sign-In</t>
  </si>
  <si>
    <t>31.10.2026</t>
  </si>
  <si>
    <t>8h</t>
  </si>
  <si>
    <t>3.4</t>
  </si>
  <si>
    <t xml:space="preserve">    • Налаштування i18n (Локалізація UA/EN)</t>
  </si>
  <si>
    <t>28.10.2026</t>
  </si>
  <si>
    <t>3.5</t>
  </si>
  <si>
    <t xml:space="preserve">    • Верстка модального вікна входу/реєстрації</t>
  </si>
  <si>
    <t>30.10.2026</t>
  </si>
  <si>
    <t>3.6</t>
  </si>
  <si>
    <t xml:space="preserve">    • Резерв / Інтеграційні виправлення Спринту 3</t>
  </si>
  <si>
    <t>3.3, 3.5</t>
  </si>
  <si>
    <t>4</t>
  </si>
  <si>
    <t>Етап 4. Каталог, Пошук &amp; Фільтрація</t>
  </si>
  <si>
    <t>02.11.2026</t>
  </si>
  <si>
    <t>08.11.2026</t>
  </si>
  <si>
    <t>4.1</t>
  </si>
  <si>
    <t xml:space="preserve">    • CMS модуль управління контентом &amp; i18n</t>
  </si>
  <si>
    <t>04.11.2026</t>
  </si>
  <si>
    <t>10h</t>
  </si>
  <si>
    <t>4.2</t>
  </si>
  <si>
    <t xml:space="preserve">    • API фільтрації каталогу GET /api/vehicles</t>
  </si>
  <si>
    <t>03.11.2026</t>
  </si>
  <si>
    <t>05.11.2026</t>
  </si>
  <si>
    <t>4.3</t>
  </si>
  <si>
    <t xml:space="preserve">    • Мобільна шторка фільтрів (Mobile First)</t>
  </si>
  <si>
    <t>06.11.2026</t>
  </si>
  <si>
    <t>4.4</t>
  </si>
  <si>
    <t xml:space="preserve">    • Подвійні слайдери діапазону (Range Sliders)</t>
  </si>
  <si>
    <t>07.11.2026</t>
  </si>
  <si>
    <t>4.5</t>
  </si>
  <si>
    <t xml:space="preserve">    • Чекбокси технічних опцій та аксесуарів</t>
  </si>
  <si>
    <t>4.6</t>
  </si>
  <si>
    <t xml:space="preserve">    • Адаптивна Grid-сітка каталогу</t>
  </si>
  <si>
    <t>5</t>
  </si>
  <si>
    <t>Етап 5. Картка транспорту, Календар &amp; Оплата</t>
  </si>
  <si>
    <t>09.11.2026</t>
  </si>
  <si>
    <t>15.11.2026</t>
  </si>
  <si>
    <t>40h</t>
  </si>
  <si>
    <t>5.1</t>
  </si>
  <si>
    <t xml:space="preserve">    • Фотогалерея та 360°-плеєр</t>
  </si>
  <si>
    <t>11.11.2026</t>
  </si>
  <si>
    <t>5.2</t>
  </si>
  <si>
    <t xml:space="preserve">    • Інфо-блок «Вимоги до водія»</t>
  </si>
  <si>
    <t>10.11.2026</t>
  </si>
  <si>
    <t>5.3</t>
  </si>
  <si>
    <t xml:space="preserve">    • Вибір аксесуарів &amp; точок видачі/повернення</t>
  </si>
  <si>
    <t>13.11.2026</t>
  </si>
  <si>
    <t>5.4</t>
  </si>
  <si>
    <t xml:space="preserve">    • Календар вибору дат та типу оренди</t>
  </si>
  <si>
    <t>12.11.2026</t>
  </si>
  <si>
    <t>14.11.2026</t>
  </si>
  <si>
    <t>5.5</t>
  </si>
  <si>
    <t xml:space="preserve">    • Інтеграція Еквайрингу: Оплата замовлення</t>
  </si>
  <si>
    <t>5.6</t>
  </si>
  <si>
    <t xml:space="preserve">    • Резерв / Інтеграційні виправлення Спринту 5</t>
  </si>
  <si>
    <t>5.4, 5.5</t>
  </si>
  <si>
    <t>6</t>
  </si>
  <si>
    <t>Етап 6. Холдування застави &amp; Кабінет Орендаря</t>
  </si>
  <si>
    <t>16.11.2026</t>
  </si>
  <si>
    <t>22.11.2026</t>
  </si>
  <si>
    <t>34h</t>
  </si>
  <si>
    <t>6.1</t>
  </si>
  <si>
    <t xml:space="preserve">    • Холдування (заморожування) застави</t>
  </si>
  <si>
    <t>19.11.2026</t>
  </si>
  <si>
    <t>12h</t>
  </si>
  <si>
    <t>6.2</t>
  </si>
  <si>
    <t xml:space="preserve">    • Віджет «Активна оренда» з Live-таймером</t>
  </si>
  <si>
    <t>18.11.2026</t>
  </si>
  <si>
    <t>20.11.2026</t>
  </si>
  <si>
    <t>6.3</t>
  </si>
  <si>
    <t xml:space="preserve">    • API продовження оренди</t>
  </si>
  <si>
    <t>21.11.2026</t>
  </si>
  <si>
    <t>6.4</t>
  </si>
  <si>
    <t xml:space="preserve">    • Модалка «Продовжити / Завершити оренду»</t>
  </si>
  <si>
    <t>6.5</t>
  </si>
  <si>
    <t xml:space="preserve">    • Сповіщення та обробка скасування бронювання</t>
  </si>
  <si>
    <t>7</t>
  </si>
  <si>
    <t>Етап 7. Панель Орендодавця, Премодерація &amp; Рейтинг</t>
  </si>
  <si>
    <t>23.11.2026</t>
  </si>
  <si>
    <t>29.11.2026</t>
  </si>
  <si>
    <t>7.1</t>
  </si>
  <si>
    <t xml:space="preserve">    • Таблиця історії замовлень</t>
  </si>
  <si>
    <t>25.11.2026</t>
  </si>
  <si>
    <t>7.2</t>
  </si>
  <si>
    <t xml:space="preserve">    • Форма оцінки та відгуку (Двосторонній рейтинг)</t>
  </si>
  <si>
    <t>24.11.2026</t>
  </si>
  <si>
    <t>26.11.2026</t>
  </si>
  <si>
    <t>7.3</t>
  </si>
  <si>
    <t xml:space="preserve">    • Форма створення/редагування транспорту</t>
  </si>
  <si>
    <t>27.11.2026</t>
  </si>
  <si>
    <t>7.4</t>
  </si>
  <si>
    <t xml:space="preserve">    • Модуль Премодерації оголошень (Адмінка)</t>
  </si>
  <si>
    <t>28.11.2026</t>
  </si>
  <si>
    <t>7.5</t>
  </si>
  <si>
    <t xml:space="preserve">    • Резерв / Інтеграційні виправлення Спринту 7</t>
  </si>
  <si>
    <t>7.3, 7.4</t>
  </si>
  <si>
    <t>8</t>
  </si>
  <si>
    <t>Етап 8. S3/Cloudinary, Адмінка &amp; Довідники</t>
  </si>
  <si>
    <t>30.11.2026</t>
  </si>
  <si>
    <t>06.12.2026</t>
  </si>
  <si>
    <t>8.1</t>
  </si>
  <si>
    <t xml:space="preserve">    • Управління довідником аксесуарів &amp; блокування</t>
  </si>
  <si>
    <t>02.12.2026</t>
  </si>
  <si>
    <t>8.2</t>
  </si>
  <si>
    <t xml:space="preserve">    • API Завантаження фото/документів (S3)</t>
  </si>
  <si>
    <t>01.12.2026</t>
  </si>
  <si>
    <t>03.12.2026</t>
  </si>
  <si>
    <t>8.3</t>
  </si>
  <si>
    <t xml:space="preserve">    • Управління статусами транспорту</t>
  </si>
  <si>
    <t>04.12.2026</t>
  </si>
  <si>
    <t>8.4</t>
  </si>
  <si>
    <t xml:space="preserve">    • Інтерактивний календар завантаженості</t>
  </si>
  <si>
    <t>05.12.2026</t>
  </si>
  <si>
    <t>8.5</t>
  </si>
  <si>
    <t xml:space="preserve">    • Логіка розблокування / утримання застави</t>
  </si>
  <si>
    <t>9</t>
  </si>
  <si>
    <t>Етап 9. IoT (GPS/Заряд), Карти &amp; Аналітика</t>
  </si>
  <si>
    <t>07.12.2026</t>
  </si>
  <si>
    <t>13.12.2026</t>
  </si>
  <si>
    <t>9.1</t>
  </si>
  <si>
    <t xml:space="preserve">    • Модуль «Чорний список» (Blacklist)</t>
  </si>
  <si>
    <t>09.12.2026</t>
  </si>
  <si>
    <t>9.2</t>
  </si>
  <si>
    <t xml:space="preserve">    • Дашборд аналітики та звітності</t>
  </si>
  <si>
    <t>08.12.2026</t>
  </si>
  <si>
    <t>10.12.2026</t>
  </si>
  <si>
    <t>9.3</t>
  </si>
  <si>
    <t xml:space="preserve">    • Інтеграція Google Maps (м. Львів)</t>
  </si>
  <si>
    <t>11.12.2026</t>
  </si>
  <si>
    <t>9.4</t>
  </si>
  <si>
    <t xml:space="preserve">    • IoT Webhook: Прийом GPS та стану батареї</t>
  </si>
  <si>
    <t>12.12.2026</t>
  </si>
  <si>
    <t>9.5</t>
  </si>
  <si>
    <t xml:space="preserve">    • Відображення IoT-даних (Заряд + Карта)</t>
  </si>
  <si>
    <t>9.3, 9.4</t>
  </si>
  <si>
    <t>9.6</t>
  </si>
  <si>
    <t xml:space="preserve">    • Резерв / Інтеграційні виправлення Спринту 9</t>
  </si>
  <si>
    <t>10</t>
  </si>
  <si>
    <t>Етап 10. Email, PageSpeed, QA &amp; Фінальний реліз</t>
  </si>
  <si>
    <t>14.12.2026</t>
  </si>
  <si>
    <t>20.12.2026</t>
  </si>
  <si>
    <t>41h</t>
  </si>
  <si>
    <t>10.1</t>
  </si>
  <si>
    <t xml:space="preserve">    • Сервіс Email-сповіщень (Resend/SendGrid)</t>
  </si>
  <si>
    <t>16.12.2026</t>
  </si>
  <si>
    <t>10.2</t>
  </si>
  <si>
    <t xml:space="preserve">    • Генерація Sitemap.xml, Robots.txt та ЧПУ</t>
  </si>
  <si>
    <t>15.12.2026</t>
  </si>
  <si>
    <t>17.12.2026</t>
  </si>
  <si>
    <t>10.3</t>
  </si>
  <si>
    <t xml:space="preserve">    • Оптимізація швидкості Google PageSpeed</t>
  </si>
  <si>
    <t>18.12.2026</t>
  </si>
  <si>
    <t>10.4</t>
  </si>
  <si>
    <t xml:space="preserve">    • Скрізне (E2E) тестування повного флоу</t>
  </si>
  <si>
    <t>19.12.2026</t>
  </si>
  <si>
    <t>10.2, 10.3</t>
  </si>
  <si>
    <t>10.5</t>
  </si>
  <si>
    <t xml:space="preserve">    • Кросбраузерне та мобільне тестування UI</t>
  </si>
  <si>
    <t>10.6</t>
  </si>
  <si>
    <t xml:space="preserve">    • Запуск на основному домені та Backup</t>
  </si>
  <si>
    <t>РАЗОМ</t>
  </si>
  <si>
    <t>Загальний обсяг проекту</t>
  </si>
  <si>
    <t>70 днів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</si>
</sst>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5E7EB"/>
      <name val="Calibri"/>
    </font>
    <font>
      <b/>
      <sz val="10"/>
      <color rgb="FF374151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10"/>
      <color rgb="FF111827"/>
      <name val="Calibri"/>
    </font>
    <font>
      <b/>
      <sz val="9"/>
      <color rgb="FFFFFFFF"/>
      <name val="Arial"/>
    </font>
    <font>
      <sz val="10"/>
      <color rgb="FF374151"/>
      <name val="Calibri"/>
    </font>
    <font>
      <b/>
      <sz val="7"/>
      <color rgb="FFFFFFFF"/>
      <name val="Calibri"/>
    </font>
    <font>
      <sz val="7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4D2B"/>
        <bgColor rgb="FF1E4D2B"/>
      </patternFill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</patternFill>
    </fill>
    <fill>
      <patternFill patternType="solid">
        <fgColor rgb="FFDC2626"/>
        <bgColor rgb="FFDC2626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6B7280"/>
      </top>
      <bottom style="medium">
        <color rgb="FF6B7280"/>
      </bottom>
      <diagonal/>
    </border>
    <border>
      <left/>
      <right/>
      <top/>
      <bottom style="medium">
        <color rgb="FF11182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6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7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0" fontId="6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right" vertical="center"/>
    </xf>
    <xf numFmtId="0" fontId="0" fillId="8" borderId="1" xfId="0" applyFill="1" applyBorder="1"/>
    <xf numFmtId="0" fontId="0" fillId="9" borderId="1" xfId="0" applyFill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/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indent="1"/>
    </xf>
    <xf numFmtId="0" fontId="0" fillId="0" borderId="1" xfId="0" applyBorder="1" applyAlignment="1"/>
    <xf numFmtId="0" fontId="2" fillId="2" borderId="0" xfId="0" applyFont="1" applyFill="1" applyAlignment="1">
      <alignment horizontal="left" vertical="center" inden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9"/>
  <sheetViews>
    <sheetView tabSelected="1" workbookViewId="0">
      <pane xSplit="7" ySplit="9" topLeftCell="H10" activePane="bottomRight" state="frozen"/>
      <selection pane="bottomRight" activeCell="A2" sqref="A2:BH2"/>
      <selection pane="bottomLeft"/>
      <selection pane="topRight"/>
    </sheetView>
  </sheetViews>
  <sheetFormatPr defaultRowHeight="15"/>
  <cols>
    <col min="1" max="1" width="8" customWidth="1"/>
    <col min="2" max="2" width="50" customWidth="1"/>
    <col min="3" max="3" width="14" customWidth="1"/>
    <col min="4" max="5" width="13" customWidth="1"/>
    <col min="6" max="6" width="10" customWidth="1"/>
    <col min="7" max="7" width="12" customWidth="1"/>
    <col min="8" max="57" width="4.140625" customWidth="1"/>
  </cols>
  <sheetData>
    <row r="1" spans="1:60" ht="19.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</row>
    <row r="2" spans="1:60">
      <c r="A2" s="26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</row>
    <row r="4" spans="1:60">
      <c r="A4" s="24" t="s">
        <v>2</v>
      </c>
      <c r="B4" s="25"/>
      <c r="C4" s="25"/>
      <c r="D4" s="25"/>
      <c r="E4" s="24" t="s">
        <v>3</v>
      </c>
      <c r="F4" s="25"/>
      <c r="G4" s="25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</row>
    <row r="5" spans="1:60">
      <c r="A5" s="24" t="s">
        <v>4</v>
      </c>
      <c r="B5" s="25"/>
      <c r="C5" s="25"/>
      <c r="D5" s="25"/>
      <c r="E5" s="24" t="s">
        <v>5</v>
      </c>
      <c r="F5" s="25"/>
      <c r="G5" s="25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spans="1:60">
      <c r="A6" s="24" t="s">
        <v>6</v>
      </c>
      <c r="B6" s="25"/>
      <c r="C6" s="25"/>
      <c r="D6" s="25"/>
      <c r="E6" s="24" t="s">
        <v>7</v>
      </c>
      <c r="F6" s="25"/>
      <c r="G6" s="25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8" spans="1:60">
      <c r="A8" s="23" t="s">
        <v>8</v>
      </c>
      <c r="B8" s="23" t="s">
        <v>9</v>
      </c>
      <c r="C8" s="23" t="s">
        <v>10</v>
      </c>
      <c r="D8" s="23" t="s">
        <v>11</v>
      </c>
      <c r="E8" s="23" t="s">
        <v>12</v>
      </c>
      <c r="F8" s="23" t="s">
        <v>13</v>
      </c>
      <c r="G8" s="23" t="s">
        <v>14</v>
      </c>
      <c r="H8" s="20" t="s">
        <v>15</v>
      </c>
      <c r="I8" s="21"/>
      <c r="J8" s="21"/>
      <c r="K8" s="21"/>
      <c r="L8" s="21"/>
      <c r="M8" s="20" t="s">
        <v>16</v>
      </c>
      <c r="N8" s="21"/>
      <c r="O8" s="21"/>
      <c r="P8" s="21"/>
      <c r="Q8" s="21"/>
      <c r="R8" s="20" t="s">
        <v>17</v>
      </c>
      <c r="S8" s="21"/>
      <c r="T8" s="21"/>
      <c r="U8" s="21"/>
      <c r="V8" s="21"/>
      <c r="W8" s="20" t="s">
        <v>18</v>
      </c>
      <c r="X8" s="21"/>
      <c r="Y8" s="21"/>
      <c r="Z8" s="21"/>
      <c r="AA8" s="21"/>
      <c r="AB8" s="20" t="s">
        <v>19</v>
      </c>
      <c r="AC8" s="21"/>
      <c r="AD8" s="21"/>
      <c r="AE8" s="21"/>
      <c r="AF8" s="21"/>
      <c r="AG8" s="20" t="s">
        <v>20</v>
      </c>
      <c r="AH8" s="21"/>
      <c r="AI8" s="21"/>
      <c r="AJ8" s="21"/>
      <c r="AK8" s="21"/>
      <c r="AL8" s="20" t="s">
        <v>21</v>
      </c>
      <c r="AM8" s="21"/>
      <c r="AN8" s="21"/>
      <c r="AO8" s="21"/>
      <c r="AP8" s="21"/>
      <c r="AQ8" s="20" t="s">
        <v>22</v>
      </c>
      <c r="AR8" s="21"/>
      <c r="AS8" s="21"/>
      <c r="AT8" s="21"/>
      <c r="AU8" s="21"/>
      <c r="AV8" s="20" t="s">
        <v>23</v>
      </c>
      <c r="AW8" s="21"/>
      <c r="AX8" s="21"/>
      <c r="AY8" s="21"/>
      <c r="AZ8" s="21"/>
      <c r="BA8" s="20" t="s">
        <v>24</v>
      </c>
      <c r="BB8" s="21"/>
      <c r="BC8" s="21"/>
      <c r="BD8" s="21"/>
      <c r="BE8" s="21"/>
      <c r="BF8" s="19"/>
      <c r="BG8" s="19"/>
      <c r="BH8" s="19"/>
    </row>
    <row r="9" spans="1:60">
      <c r="A9" s="21"/>
      <c r="B9" s="21"/>
      <c r="C9" s="21"/>
      <c r="D9" s="21"/>
      <c r="E9" s="21"/>
      <c r="F9" s="21"/>
      <c r="G9" s="21"/>
      <c r="H9" s="1" t="s">
        <v>25</v>
      </c>
      <c r="I9" s="1" t="s">
        <v>26</v>
      </c>
      <c r="J9" s="1" t="s">
        <v>27</v>
      </c>
      <c r="K9" s="1" t="s">
        <v>28</v>
      </c>
      <c r="L9" s="1" t="s">
        <v>29</v>
      </c>
      <c r="M9" s="1" t="s">
        <v>25</v>
      </c>
      <c r="N9" s="1" t="s">
        <v>26</v>
      </c>
      <c r="O9" s="1" t="s">
        <v>27</v>
      </c>
      <c r="P9" s="1" t="s">
        <v>28</v>
      </c>
      <c r="Q9" s="1" t="s">
        <v>29</v>
      </c>
      <c r="R9" s="1" t="s">
        <v>25</v>
      </c>
      <c r="S9" s="1" t="s">
        <v>26</v>
      </c>
      <c r="T9" s="1" t="s">
        <v>27</v>
      </c>
      <c r="U9" s="1" t="s">
        <v>28</v>
      </c>
      <c r="V9" s="1" t="s">
        <v>29</v>
      </c>
      <c r="W9" s="1" t="s">
        <v>25</v>
      </c>
      <c r="X9" s="1" t="s">
        <v>26</v>
      </c>
      <c r="Y9" s="1" t="s">
        <v>27</v>
      </c>
      <c r="Z9" s="1" t="s">
        <v>28</v>
      </c>
      <c r="AA9" s="1" t="s">
        <v>29</v>
      </c>
      <c r="AB9" s="1" t="s">
        <v>25</v>
      </c>
      <c r="AC9" s="1" t="s">
        <v>26</v>
      </c>
      <c r="AD9" s="1" t="s">
        <v>27</v>
      </c>
      <c r="AE9" s="1" t="s">
        <v>28</v>
      </c>
      <c r="AF9" s="1" t="s">
        <v>29</v>
      </c>
      <c r="AG9" s="1" t="s">
        <v>25</v>
      </c>
      <c r="AH9" s="1" t="s">
        <v>26</v>
      </c>
      <c r="AI9" s="1" t="s">
        <v>27</v>
      </c>
      <c r="AJ9" s="1" t="s">
        <v>28</v>
      </c>
      <c r="AK9" s="1" t="s">
        <v>29</v>
      </c>
      <c r="AL9" s="1" t="s">
        <v>25</v>
      </c>
      <c r="AM9" s="1" t="s">
        <v>26</v>
      </c>
      <c r="AN9" s="1" t="s">
        <v>27</v>
      </c>
      <c r="AO9" s="1" t="s">
        <v>28</v>
      </c>
      <c r="AP9" s="1" t="s">
        <v>29</v>
      </c>
      <c r="AQ9" s="1" t="s">
        <v>25</v>
      </c>
      <c r="AR9" s="1" t="s">
        <v>26</v>
      </c>
      <c r="AS9" s="1" t="s">
        <v>27</v>
      </c>
      <c r="AT9" s="1" t="s">
        <v>28</v>
      </c>
      <c r="AU9" s="1" t="s">
        <v>29</v>
      </c>
      <c r="AV9" s="1" t="s">
        <v>25</v>
      </c>
      <c r="AW9" s="1" t="s">
        <v>26</v>
      </c>
      <c r="AX9" s="1" t="s">
        <v>27</v>
      </c>
      <c r="AY9" s="1" t="s">
        <v>28</v>
      </c>
      <c r="AZ9" s="1" t="s">
        <v>29</v>
      </c>
      <c r="BA9" s="1" t="s">
        <v>25</v>
      </c>
      <c r="BB9" s="1" t="s">
        <v>26</v>
      </c>
      <c r="BC9" s="1" t="s">
        <v>27</v>
      </c>
      <c r="BD9" s="1" t="s">
        <v>28</v>
      </c>
      <c r="BE9" s="1" t="s">
        <v>29</v>
      </c>
      <c r="BF9" s="19"/>
      <c r="BG9" s="19"/>
      <c r="BH9" s="19"/>
    </row>
    <row r="10" spans="1:60">
      <c r="A10" s="2" t="s">
        <v>30</v>
      </c>
      <c r="B10" s="3" t="s">
        <v>31</v>
      </c>
      <c r="C10" s="2" t="s">
        <v>32</v>
      </c>
      <c r="D10" s="2" t="s">
        <v>33</v>
      </c>
      <c r="E10" s="2" t="s">
        <v>34</v>
      </c>
      <c r="F10" s="2">
        <f>SUM(F11:F17)</f>
        <v>36</v>
      </c>
      <c r="G10" s="2" t="s">
        <v>35</v>
      </c>
      <c r="H10" s="4" t="s">
        <v>36</v>
      </c>
      <c r="I10" s="5"/>
      <c r="J10" s="6" t="s">
        <v>37</v>
      </c>
      <c r="K10" s="5"/>
      <c r="L10" s="7" t="s">
        <v>38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9"/>
      <c r="BG10" s="19"/>
      <c r="BH10" s="19"/>
    </row>
    <row r="11" spans="1:60">
      <c r="A11" s="9" t="s">
        <v>39</v>
      </c>
      <c r="B11" s="10" t="s">
        <v>40</v>
      </c>
      <c r="C11" s="9" t="s">
        <v>41</v>
      </c>
      <c r="D11" s="9" t="s">
        <v>33</v>
      </c>
      <c r="E11" s="9" t="s">
        <v>42</v>
      </c>
      <c r="F11" s="11">
        <v>2</v>
      </c>
      <c r="G11" s="9" t="s">
        <v>39</v>
      </c>
      <c r="H11" s="12" t="s">
        <v>43</v>
      </c>
      <c r="I11" s="13" t="s">
        <v>44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9"/>
      <c r="BG11" s="19"/>
      <c r="BH11" s="19"/>
    </row>
    <row r="12" spans="1:60">
      <c r="A12" s="9" t="s">
        <v>45</v>
      </c>
      <c r="B12" s="10" t="s">
        <v>46</v>
      </c>
      <c r="C12" s="9" t="s">
        <v>47</v>
      </c>
      <c r="D12" s="9" t="s">
        <v>42</v>
      </c>
      <c r="E12" s="9" t="s">
        <v>48</v>
      </c>
      <c r="F12" s="11">
        <v>6</v>
      </c>
      <c r="G12" s="9" t="s">
        <v>39</v>
      </c>
      <c r="H12" s="14"/>
      <c r="I12" s="12" t="s">
        <v>49</v>
      </c>
      <c r="J12" s="15"/>
      <c r="K12" s="13" t="s">
        <v>44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9"/>
      <c r="BG12" s="19"/>
      <c r="BH12" s="19"/>
    </row>
    <row r="13" spans="1:60">
      <c r="A13" s="9" t="s">
        <v>50</v>
      </c>
      <c r="B13" s="10" t="s">
        <v>51</v>
      </c>
      <c r="C13" s="9" t="s">
        <v>47</v>
      </c>
      <c r="D13" s="9" t="s">
        <v>52</v>
      </c>
      <c r="E13" s="9" t="s">
        <v>53</v>
      </c>
      <c r="F13" s="11">
        <v>5</v>
      </c>
      <c r="G13" s="9" t="s">
        <v>45</v>
      </c>
      <c r="H13" s="14"/>
      <c r="I13" s="14"/>
      <c r="J13" s="12" t="s">
        <v>54</v>
      </c>
      <c r="K13" s="15"/>
      <c r="L13" s="13" t="s">
        <v>44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9"/>
      <c r="BG13" s="19"/>
      <c r="BH13" s="19"/>
    </row>
    <row r="14" spans="1:60">
      <c r="A14" s="9" t="s">
        <v>55</v>
      </c>
      <c r="B14" s="10" t="s">
        <v>56</v>
      </c>
      <c r="C14" s="9" t="s">
        <v>47</v>
      </c>
      <c r="D14" s="9" t="s">
        <v>48</v>
      </c>
      <c r="E14" s="9" t="s">
        <v>57</v>
      </c>
      <c r="F14" s="11">
        <v>7</v>
      </c>
      <c r="G14" s="9" t="s">
        <v>50</v>
      </c>
      <c r="H14" s="14"/>
      <c r="I14" s="14"/>
      <c r="J14" s="14"/>
      <c r="K14" s="12" t="s">
        <v>58</v>
      </c>
      <c r="L14" s="13" t="s">
        <v>44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9"/>
      <c r="BG14" s="19"/>
      <c r="BH14" s="19"/>
    </row>
    <row r="15" spans="1:60">
      <c r="A15" s="9" t="s">
        <v>59</v>
      </c>
      <c r="B15" s="10" t="s">
        <v>60</v>
      </c>
      <c r="C15" s="9" t="s">
        <v>47</v>
      </c>
      <c r="D15" s="9" t="s">
        <v>53</v>
      </c>
      <c r="E15" s="9" t="s">
        <v>34</v>
      </c>
      <c r="F15" s="11">
        <v>6</v>
      </c>
      <c r="G15" s="9" t="s">
        <v>55</v>
      </c>
      <c r="H15" s="14"/>
      <c r="I15" s="14"/>
      <c r="J15" s="14"/>
      <c r="K15" s="14"/>
      <c r="L15" s="13" t="s">
        <v>44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9"/>
      <c r="BG15" s="19"/>
      <c r="BH15" s="19"/>
    </row>
    <row r="16" spans="1:60">
      <c r="A16" s="9" t="s">
        <v>61</v>
      </c>
      <c r="B16" s="10" t="s">
        <v>62</v>
      </c>
      <c r="C16" s="9" t="s">
        <v>63</v>
      </c>
      <c r="D16" s="9" t="s">
        <v>33</v>
      </c>
      <c r="E16" s="9" t="s">
        <v>48</v>
      </c>
      <c r="F16" s="11">
        <v>6</v>
      </c>
      <c r="G16" s="9" t="s">
        <v>35</v>
      </c>
      <c r="H16" s="12" t="s">
        <v>49</v>
      </c>
      <c r="I16" s="15"/>
      <c r="J16" s="15"/>
      <c r="K16" s="1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9"/>
      <c r="BG16" s="19"/>
      <c r="BH16" s="19"/>
    </row>
    <row r="17" spans="1:57">
      <c r="A17" s="9" t="s">
        <v>64</v>
      </c>
      <c r="B17" s="10" t="s">
        <v>65</v>
      </c>
      <c r="C17" s="9" t="s">
        <v>47</v>
      </c>
      <c r="D17" s="9" t="s">
        <v>53</v>
      </c>
      <c r="E17" s="9" t="s">
        <v>34</v>
      </c>
      <c r="F17" s="11">
        <v>4</v>
      </c>
      <c r="G17" s="9" t="s">
        <v>61</v>
      </c>
      <c r="H17" s="14"/>
      <c r="I17" s="14"/>
      <c r="J17" s="14"/>
      <c r="K17" s="14"/>
      <c r="L17" s="13" t="s">
        <v>44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</row>
    <row r="18" spans="1:57" hidden="1">
      <c r="A18" s="2" t="s">
        <v>66</v>
      </c>
      <c r="B18" s="3" t="s">
        <v>67</v>
      </c>
      <c r="C18" s="2" t="s">
        <v>32</v>
      </c>
      <c r="D18" s="2" t="s">
        <v>68</v>
      </c>
      <c r="E18" s="2" t="s">
        <v>69</v>
      </c>
      <c r="F18" s="2">
        <f>SUM(F19:F25)</f>
        <v>38</v>
      </c>
      <c r="G18" s="2" t="s">
        <v>30</v>
      </c>
      <c r="H18" s="8"/>
      <c r="I18" s="8"/>
      <c r="J18" s="8"/>
      <c r="K18" s="8"/>
      <c r="L18" s="8"/>
      <c r="M18" s="4" t="s">
        <v>36</v>
      </c>
      <c r="N18" s="5"/>
      <c r="O18" s="6" t="s">
        <v>70</v>
      </c>
      <c r="P18" s="5"/>
      <c r="Q18" s="7" t="s">
        <v>38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</row>
    <row r="19" spans="1:57">
      <c r="A19" s="9" t="s">
        <v>71</v>
      </c>
      <c r="B19" s="10" t="s">
        <v>72</v>
      </c>
      <c r="C19" s="9" t="s">
        <v>47</v>
      </c>
      <c r="D19" s="9" t="s">
        <v>68</v>
      </c>
      <c r="E19" s="9" t="s">
        <v>73</v>
      </c>
      <c r="F19" s="11">
        <v>6</v>
      </c>
      <c r="G19" s="9" t="s">
        <v>59</v>
      </c>
      <c r="H19" s="14"/>
      <c r="I19" s="14"/>
      <c r="J19" s="14"/>
      <c r="K19" s="14"/>
      <c r="L19" s="14"/>
      <c r="M19" s="12" t="s">
        <v>49</v>
      </c>
      <c r="N19" s="15"/>
      <c r="O19" s="13" t="s">
        <v>44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>
      <c r="A20" s="9" t="s">
        <v>74</v>
      </c>
      <c r="B20" s="10" t="s">
        <v>75</v>
      </c>
      <c r="C20" s="9" t="s">
        <v>47</v>
      </c>
      <c r="D20" s="9" t="s">
        <v>76</v>
      </c>
      <c r="E20" s="9" t="s">
        <v>77</v>
      </c>
      <c r="F20" s="11">
        <v>6</v>
      </c>
      <c r="G20" s="9" t="s">
        <v>71</v>
      </c>
      <c r="H20" s="14"/>
      <c r="I20" s="14"/>
      <c r="J20" s="14"/>
      <c r="K20" s="14"/>
      <c r="L20" s="14"/>
      <c r="M20" s="14"/>
      <c r="N20" s="12" t="s">
        <v>49</v>
      </c>
      <c r="O20" s="15"/>
      <c r="P20" s="13" t="s">
        <v>44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</row>
    <row r="21" spans="1:57">
      <c r="A21" s="9" t="s">
        <v>78</v>
      </c>
      <c r="B21" s="10" t="s">
        <v>79</v>
      </c>
      <c r="C21" s="9" t="s">
        <v>47</v>
      </c>
      <c r="D21" s="9" t="s">
        <v>77</v>
      </c>
      <c r="E21" s="9" t="s">
        <v>80</v>
      </c>
      <c r="F21" s="11">
        <v>7</v>
      </c>
      <c r="G21" s="9" t="s">
        <v>74</v>
      </c>
      <c r="H21" s="14"/>
      <c r="I21" s="14"/>
      <c r="J21" s="14"/>
      <c r="K21" s="14"/>
      <c r="L21" s="14"/>
      <c r="M21" s="14"/>
      <c r="N21" s="14"/>
      <c r="O21" s="14"/>
      <c r="P21" s="12" t="s">
        <v>58</v>
      </c>
      <c r="Q21" s="13" t="s">
        <v>44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</row>
    <row r="22" spans="1:57">
      <c r="A22" s="9" t="s">
        <v>81</v>
      </c>
      <c r="B22" s="10" t="s">
        <v>82</v>
      </c>
      <c r="C22" s="9" t="s">
        <v>47</v>
      </c>
      <c r="D22" s="9" t="s">
        <v>68</v>
      </c>
      <c r="E22" s="9" t="s">
        <v>73</v>
      </c>
      <c r="F22" s="11">
        <v>4</v>
      </c>
      <c r="G22" s="9" t="s">
        <v>64</v>
      </c>
      <c r="H22" s="14"/>
      <c r="I22" s="14"/>
      <c r="J22" s="14"/>
      <c r="K22" s="14"/>
      <c r="L22" s="14"/>
      <c r="M22" s="12" t="s">
        <v>83</v>
      </c>
      <c r="N22" s="15"/>
      <c r="O22" s="13" t="s">
        <v>44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</row>
    <row r="23" spans="1:57">
      <c r="A23" s="9" t="s">
        <v>84</v>
      </c>
      <c r="B23" s="10" t="s">
        <v>85</v>
      </c>
      <c r="C23" s="9" t="s">
        <v>47</v>
      </c>
      <c r="D23" s="9" t="s">
        <v>73</v>
      </c>
      <c r="E23" s="9" t="s">
        <v>86</v>
      </c>
      <c r="F23" s="11">
        <v>6</v>
      </c>
      <c r="G23" s="9" t="s">
        <v>81</v>
      </c>
      <c r="H23" s="14"/>
      <c r="I23" s="14"/>
      <c r="J23" s="14"/>
      <c r="K23" s="14"/>
      <c r="L23" s="14"/>
      <c r="M23" s="14"/>
      <c r="N23" s="14"/>
      <c r="O23" s="12" t="s">
        <v>49</v>
      </c>
      <c r="P23" s="15"/>
      <c r="Q23" s="13" t="s">
        <v>44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</row>
    <row r="24" spans="1:57">
      <c r="A24" s="9" t="s">
        <v>87</v>
      </c>
      <c r="B24" s="10" t="s">
        <v>88</v>
      </c>
      <c r="C24" s="9" t="s">
        <v>41</v>
      </c>
      <c r="D24" s="9" t="s">
        <v>86</v>
      </c>
      <c r="E24" s="9" t="s">
        <v>80</v>
      </c>
      <c r="F24" s="11">
        <v>4</v>
      </c>
      <c r="G24" s="9" t="s">
        <v>84</v>
      </c>
      <c r="H24" s="14"/>
      <c r="I24" s="14"/>
      <c r="J24" s="14"/>
      <c r="K24" s="14"/>
      <c r="L24" s="14"/>
      <c r="M24" s="14"/>
      <c r="N24" s="14"/>
      <c r="O24" s="14"/>
      <c r="P24" s="14"/>
      <c r="Q24" s="13" t="s">
        <v>44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</row>
    <row r="25" spans="1:57">
      <c r="A25" s="9" t="s">
        <v>89</v>
      </c>
      <c r="B25" s="10" t="s">
        <v>90</v>
      </c>
      <c r="C25" s="9" t="s">
        <v>41</v>
      </c>
      <c r="D25" s="9" t="s">
        <v>80</v>
      </c>
      <c r="E25" s="9" t="s">
        <v>69</v>
      </c>
      <c r="F25" s="11">
        <v>5</v>
      </c>
      <c r="G25" s="9" t="s">
        <v>87</v>
      </c>
      <c r="H25" s="14"/>
      <c r="I25" s="14"/>
      <c r="J25" s="14"/>
      <c r="K25" s="14"/>
      <c r="L25" s="14"/>
      <c r="M25" s="14"/>
      <c r="N25" s="14"/>
      <c r="O25" s="14"/>
      <c r="P25" s="14"/>
      <c r="Q25" s="13" t="s">
        <v>44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</row>
    <row r="26" spans="1:57">
      <c r="A26" s="2" t="s">
        <v>91</v>
      </c>
      <c r="B26" s="3" t="s">
        <v>92</v>
      </c>
      <c r="C26" s="2" t="s">
        <v>32</v>
      </c>
      <c r="D26" s="2" t="s">
        <v>93</v>
      </c>
      <c r="E26" s="2" t="s">
        <v>94</v>
      </c>
      <c r="F26" s="2">
        <f>SUM(F27:F32)</f>
        <v>39</v>
      </c>
      <c r="G26" s="2" t="s">
        <v>66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4" t="s">
        <v>36</v>
      </c>
      <c r="S26" s="5"/>
      <c r="T26" s="6" t="s">
        <v>95</v>
      </c>
      <c r="U26" s="5"/>
      <c r="V26" s="7" t="s">
        <v>38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1:57">
      <c r="A27" s="9" t="s">
        <v>96</v>
      </c>
      <c r="B27" s="10" t="s">
        <v>97</v>
      </c>
      <c r="C27" s="9" t="s">
        <v>41</v>
      </c>
      <c r="D27" s="9" t="s">
        <v>93</v>
      </c>
      <c r="E27" s="9" t="s">
        <v>98</v>
      </c>
      <c r="F27" s="11">
        <v>5</v>
      </c>
      <c r="G27" s="9" t="s">
        <v>89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2" t="s">
        <v>54</v>
      </c>
      <c r="S27" s="13" t="s">
        <v>44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</row>
    <row r="28" spans="1:57">
      <c r="A28" s="9" t="s">
        <v>99</v>
      </c>
      <c r="B28" s="10" t="s">
        <v>100</v>
      </c>
      <c r="C28" s="9" t="s">
        <v>47</v>
      </c>
      <c r="D28" s="9" t="s">
        <v>98</v>
      </c>
      <c r="E28" s="9" t="s">
        <v>101</v>
      </c>
      <c r="F28" s="11">
        <v>6</v>
      </c>
      <c r="G28" s="9" t="s">
        <v>96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 t="s">
        <v>49</v>
      </c>
      <c r="T28" s="15"/>
      <c r="U28" s="13" t="s">
        <v>44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</row>
    <row r="29" spans="1:57">
      <c r="A29" s="9" t="s">
        <v>102</v>
      </c>
      <c r="B29" s="10" t="s">
        <v>103</v>
      </c>
      <c r="C29" s="9" t="s">
        <v>47</v>
      </c>
      <c r="D29" s="9" t="s">
        <v>101</v>
      </c>
      <c r="E29" s="9" t="s">
        <v>104</v>
      </c>
      <c r="F29" s="11">
        <v>8</v>
      </c>
      <c r="G29" s="9" t="s">
        <v>99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2" t="s">
        <v>105</v>
      </c>
      <c r="V29" s="13" t="s">
        <v>44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</row>
    <row r="30" spans="1:57">
      <c r="A30" s="9" t="s">
        <v>106</v>
      </c>
      <c r="B30" s="10" t="s">
        <v>107</v>
      </c>
      <c r="C30" s="9" t="s">
        <v>47</v>
      </c>
      <c r="D30" s="9" t="s">
        <v>93</v>
      </c>
      <c r="E30" s="9" t="s">
        <v>108</v>
      </c>
      <c r="F30" s="11">
        <v>5</v>
      </c>
      <c r="G30" s="9" t="s">
        <v>78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2" t="s">
        <v>54</v>
      </c>
      <c r="S30" s="15"/>
      <c r="T30" s="13" t="s">
        <v>44</v>
      </c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</row>
    <row r="31" spans="1:57">
      <c r="A31" s="9" t="s">
        <v>109</v>
      </c>
      <c r="B31" s="10" t="s">
        <v>110</v>
      </c>
      <c r="C31" s="9" t="s">
        <v>47</v>
      </c>
      <c r="D31" s="9" t="s">
        <v>108</v>
      </c>
      <c r="E31" s="9" t="s">
        <v>111</v>
      </c>
      <c r="F31" s="11">
        <v>5</v>
      </c>
      <c r="G31" s="9" t="s">
        <v>106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2" t="s">
        <v>54</v>
      </c>
      <c r="U31" s="15"/>
      <c r="V31" s="13" t="s">
        <v>44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</row>
    <row r="32" spans="1:57">
      <c r="A32" s="9" t="s">
        <v>112</v>
      </c>
      <c r="B32" s="10" t="s">
        <v>113</v>
      </c>
      <c r="C32" s="9" t="s">
        <v>41</v>
      </c>
      <c r="D32" s="9" t="s">
        <v>104</v>
      </c>
      <c r="E32" s="9" t="s">
        <v>94</v>
      </c>
      <c r="F32" s="11">
        <v>10</v>
      </c>
      <c r="G32" s="9" t="s">
        <v>114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3" t="s">
        <v>44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</row>
    <row r="33" spans="1:57">
      <c r="A33" s="2" t="s">
        <v>115</v>
      </c>
      <c r="B33" s="3" t="s">
        <v>116</v>
      </c>
      <c r="C33" s="2" t="s">
        <v>32</v>
      </c>
      <c r="D33" s="2" t="s">
        <v>117</v>
      </c>
      <c r="E33" s="2" t="s">
        <v>118</v>
      </c>
      <c r="F33" s="2">
        <f>SUM(F34:F39)</f>
        <v>39</v>
      </c>
      <c r="G33" s="2" t="s">
        <v>91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4" t="s">
        <v>36</v>
      </c>
      <c r="X33" s="5"/>
      <c r="Y33" s="6" t="s">
        <v>95</v>
      </c>
      <c r="Z33" s="5"/>
      <c r="AA33" s="7" t="s">
        <v>38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</row>
    <row r="34" spans="1:57">
      <c r="A34" s="9" t="s">
        <v>119</v>
      </c>
      <c r="B34" s="10" t="s">
        <v>120</v>
      </c>
      <c r="C34" s="9" t="s">
        <v>47</v>
      </c>
      <c r="D34" s="9" t="s">
        <v>117</v>
      </c>
      <c r="E34" s="9" t="s">
        <v>121</v>
      </c>
      <c r="F34" s="11">
        <v>10</v>
      </c>
      <c r="G34" s="9" t="s">
        <v>112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2" t="s">
        <v>122</v>
      </c>
      <c r="X34" s="15"/>
      <c r="Y34" s="13" t="s">
        <v>44</v>
      </c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</row>
    <row r="35" spans="1:57">
      <c r="A35" s="9" t="s">
        <v>123</v>
      </c>
      <c r="B35" s="10" t="s">
        <v>124</v>
      </c>
      <c r="C35" s="9" t="s">
        <v>47</v>
      </c>
      <c r="D35" s="9" t="s">
        <v>125</v>
      </c>
      <c r="E35" s="9" t="s">
        <v>126</v>
      </c>
      <c r="F35" s="11">
        <v>8</v>
      </c>
      <c r="G35" s="9" t="s">
        <v>119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2" t="s">
        <v>105</v>
      </c>
      <c r="Y35" s="15"/>
      <c r="Z35" s="13" t="s">
        <v>44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</row>
    <row r="36" spans="1:57">
      <c r="A36" s="9" t="s">
        <v>127</v>
      </c>
      <c r="B36" s="10" t="s">
        <v>128</v>
      </c>
      <c r="C36" s="9" t="s">
        <v>47</v>
      </c>
      <c r="D36" s="9" t="s">
        <v>121</v>
      </c>
      <c r="E36" s="9" t="s">
        <v>129</v>
      </c>
      <c r="F36" s="11">
        <v>6</v>
      </c>
      <c r="G36" s="9" t="s">
        <v>119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2" t="s">
        <v>49</v>
      </c>
      <c r="Z36" s="15"/>
      <c r="AA36" s="13" t="s">
        <v>44</v>
      </c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</row>
    <row r="37" spans="1:57">
      <c r="A37" s="9" t="s">
        <v>130</v>
      </c>
      <c r="B37" s="10" t="s">
        <v>131</v>
      </c>
      <c r="C37" s="9" t="s">
        <v>47</v>
      </c>
      <c r="D37" s="9" t="s">
        <v>126</v>
      </c>
      <c r="E37" s="9" t="s">
        <v>132</v>
      </c>
      <c r="F37" s="11">
        <v>5</v>
      </c>
      <c r="G37" s="9" t="s">
        <v>127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2" t="s">
        <v>54</v>
      </c>
      <c r="AA37" s="13" t="s">
        <v>44</v>
      </c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</row>
    <row r="38" spans="1:57">
      <c r="A38" s="9" t="s">
        <v>133</v>
      </c>
      <c r="B38" s="10" t="s">
        <v>134</v>
      </c>
      <c r="C38" s="9" t="s">
        <v>41</v>
      </c>
      <c r="D38" s="9" t="s">
        <v>129</v>
      </c>
      <c r="E38" s="9" t="s">
        <v>132</v>
      </c>
      <c r="F38" s="11">
        <v>4</v>
      </c>
      <c r="G38" s="9" t="s">
        <v>130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3" t="s">
        <v>44</v>
      </c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</row>
    <row r="39" spans="1:57">
      <c r="A39" s="9" t="s">
        <v>135</v>
      </c>
      <c r="B39" s="10" t="s">
        <v>136</v>
      </c>
      <c r="C39" s="9" t="s">
        <v>41</v>
      </c>
      <c r="D39" s="9" t="s">
        <v>132</v>
      </c>
      <c r="E39" s="9" t="s">
        <v>118</v>
      </c>
      <c r="F39" s="11">
        <v>6</v>
      </c>
      <c r="G39" s="9" t="s">
        <v>133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3" t="s">
        <v>44</v>
      </c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</row>
    <row r="40" spans="1:57">
      <c r="A40" s="2" t="s">
        <v>137</v>
      </c>
      <c r="B40" s="3" t="s">
        <v>138</v>
      </c>
      <c r="C40" s="2" t="s">
        <v>32</v>
      </c>
      <c r="D40" s="2" t="s">
        <v>139</v>
      </c>
      <c r="E40" s="2" t="s">
        <v>140</v>
      </c>
      <c r="F40" s="2">
        <f>SUM(F41:F46)</f>
        <v>40</v>
      </c>
      <c r="G40" s="2" t="s">
        <v>115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4" t="s">
        <v>36</v>
      </c>
      <c r="AC40" s="5"/>
      <c r="AD40" s="6" t="s">
        <v>141</v>
      </c>
      <c r="AE40" s="5"/>
      <c r="AF40" s="7" t="s">
        <v>38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</row>
    <row r="41" spans="1:57">
      <c r="A41" s="9" t="s">
        <v>142</v>
      </c>
      <c r="B41" s="10" t="s">
        <v>143</v>
      </c>
      <c r="C41" s="9" t="s">
        <v>47</v>
      </c>
      <c r="D41" s="9" t="s">
        <v>139</v>
      </c>
      <c r="E41" s="9" t="s">
        <v>144</v>
      </c>
      <c r="F41" s="11">
        <v>7</v>
      </c>
      <c r="G41" s="9" t="s">
        <v>135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2" t="s">
        <v>58</v>
      </c>
      <c r="AC41" s="15"/>
      <c r="AD41" s="13" t="s">
        <v>44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</row>
    <row r="42" spans="1:57">
      <c r="A42" s="9" t="s">
        <v>145</v>
      </c>
      <c r="B42" s="10" t="s">
        <v>146</v>
      </c>
      <c r="C42" s="9" t="s">
        <v>41</v>
      </c>
      <c r="D42" s="9" t="s">
        <v>147</v>
      </c>
      <c r="E42" s="9" t="s">
        <v>144</v>
      </c>
      <c r="F42" s="11">
        <v>4</v>
      </c>
      <c r="G42" s="9" t="s">
        <v>142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2" t="s">
        <v>83</v>
      </c>
      <c r="AD42" s="13" t="s">
        <v>44</v>
      </c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</row>
    <row r="43" spans="1:57">
      <c r="A43" s="9" t="s">
        <v>148</v>
      </c>
      <c r="B43" s="10" t="s">
        <v>149</v>
      </c>
      <c r="C43" s="9" t="s">
        <v>47</v>
      </c>
      <c r="D43" s="9" t="s">
        <v>144</v>
      </c>
      <c r="E43" s="9" t="s">
        <v>150</v>
      </c>
      <c r="F43" s="11">
        <v>5</v>
      </c>
      <c r="G43" s="9" t="s">
        <v>145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2" t="s">
        <v>54</v>
      </c>
      <c r="AE43" s="15"/>
      <c r="AF43" s="13" t="s">
        <v>44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</row>
    <row r="44" spans="1:57">
      <c r="A44" s="9" t="s">
        <v>151</v>
      </c>
      <c r="B44" s="10" t="s">
        <v>152</v>
      </c>
      <c r="C44" s="9" t="s">
        <v>47</v>
      </c>
      <c r="D44" s="9" t="s">
        <v>153</v>
      </c>
      <c r="E44" s="9" t="s">
        <v>154</v>
      </c>
      <c r="F44" s="11">
        <v>8</v>
      </c>
      <c r="G44" s="9" t="s">
        <v>148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2" t="s">
        <v>105</v>
      </c>
      <c r="AF44" s="13" t="s">
        <v>44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</row>
    <row r="45" spans="1:57">
      <c r="A45" s="9" t="s">
        <v>155</v>
      </c>
      <c r="B45" s="10" t="s">
        <v>156</v>
      </c>
      <c r="C45" s="9" t="s">
        <v>63</v>
      </c>
      <c r="D45" s="9" t="s">
        <v>153</v>
      </c>
      <c r="E45" s="9" t="s">
        <v>140</v>
      </c>
      <c r="F45" s="11">
        <v>10</v>
      </c>
      <c r="G45" s="9" t="s">
        <v>123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2" t="s">
        <v>122</v>
      </c>
      <c r="AF45" s="13" t="s">
        <v>44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</row>
    <row r="46" spans="1:57">
      <c r="A46" s="9" t="s">
        <v>157</v>
      </c>
      <c r="B46" s="10" t="s">
        <v>158</v>
      </c>
      <c r="C46" s="9" t="s">
        <v>41</v>
      </c>
      <c r="D46" s="9" t="s">
        <v>154</v>
      </c>
      <c r="E46" s="9" t="s">
        <v>140</v>
      </c>
      <c r="F46" s="11">
        <v>6</v>
      </c>
      <c r="G46" s="9" t="s">
        <v>159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3" t="s">
        <v>44</v>
      </c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</row>
    <row r="47" spans="1:57">
      <c r="A47" s="2" t="s">
        <v>160</v>
      </c>
      <c r="B47" s="3" t="s">
        <v>161</v>
      </c>
      <c r="C47" s="2" t="s">
        <v>32</v>
      </c>
      <c r="D47" s="2" t="s">
        <v>162</v>
      </c>
      <c r="E47" s="2" t="s">
        <v>163</v>
      </c>
      <c r="F47" s="2">
        <f>SUM(F48:F52)</f>
        <v>34</v>
      </c>
      <c r="G47" s="2" t="s">
        <v>137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4" t="s">
        <v>36</v>
      </c>
      <c r="AH47" s="5"/>
      <c r="AI47" s="6" t="s">
        <v>164</v>
      </c>
      <c r="AJ47" s="5"/>
      <c r="AK47" s="7" t="s">
        <v>38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 spans="1:57">
      <c r="A48" s="9" t="s">
        <v>165</v>
      </c>
      <c r="B48" s="10" t="s">
        <v>166</v>
      </c>
      <c r="C48" s="9" t="s">
        <v>63</v>
      </c>
      <c r="D48" s="9" t="s">
        <v>162</v>
      </c>
      <c r="E48" s="9" t="s">
        <v>167</v>
      </c>
      <c r="F48" s="11">
        <v>12</v>
      </c>
      <c r="G48" s="9" t="s">
        <v>155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2" t="s">
        <v>168</v>
      </c>
      <c r="AH48" s="15"/>
      <c r="AI48" s="15"/>
      <c r="AJ48" s="13" t="s">
        <v>44</v>
      </c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</row>
    <row r="49" spans="1:57">
      <c r="A49" s="9" t="s">
        <v>169</v>
      </c>
      <c r="B49" s="10" t="s">
        <v>170</v>
      </c>
      <c r="C49" s="9" t="s">
        <v>47</v>
      </c>
      <c r="D49" s="9" t="s">
        <v>171</v>
      </c>
      <c r="E49" s="9" t="s">
        <v>172</v>
      </c>
      <c r="F49" s="11">
        <v>6</v>
      </c>
      <c r="G49" s="9" t="s">
        <v>151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2" t="s">
        <v>49</v>
      </c>
      <c r="AJ49" s="15"/>
      <c r="AK49" s="13" t="s">
        <v>44</v>
      </c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</row>
    <row r="50" spans="1:57">
      <c r="A50" s="9" t="s">
        <v>173</v>
      </c>
      <c r="B50" s="10" t="s">
        <v>174</v>
      </c>
      <c r="C50" s="9" t="s">
        <v>47</v>
      </c>
      <c r="D50" s="9" t="s">
        <v>167</v>
      </c>
      <c r="E50" s="9" t="s">
        <v>175</v>
      </c>
      <c r="F50" s="11">
        <v>6</v>
      </c>
      <c r="G50" s="9" t="s">
        <v>165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2" t="s">
        <v>49</v>
      </c>
      <c r="AK50" s="13" t="s">
        <v>44</v>
      </c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</row>
    <row r="51" spans="1:57">
      <c r="A51" s="9" t="s">
        <v>176</v>
      </c>
      <c r="B51" s="10" t="s">
        <v>177</v>
      </c>
      <c r="C51" s="9" t="s">
        <v>47</v>
      </c>
      <c r="D51" s="9" t="s">
        <v>172</v>
      </c>
      <c r="E51" s="9" t="s">
        <v>163</v>
      </c>
      <c r="F51" s="11">
        <v>5</v>
      </c>
      <c r="G51" s="9" t="s">
        <v>169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3" t="s">
        <v>44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>
      <c r="A52" s="9" t="s">
        <v>178</v>
      </c>
      <c r="B52" s="10" t="s">
        <v>179</v>
      </c>
      <c r="C52" s="9" t="s">
        <v>41</v>
      </c>
      <c r="D52" s="9" t="s">
        <v>175</v>
      </c>
      <c r="E52" s="9" t="s">
        <v>163</v>
      </c>
      <c r="F52" s="11">
        <v>5</v>
      </c>
      <c r="G52" s="9" t="s">
        <v>173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3" t="s">
        <v>44</v>
      </c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>
      <c r="A53" s="2" t="s">
        <v>180</v>
      </c>
      <c r="B53" s="3" t="s">
        <v>181</v>
      </c>
      <c r="C53" s="2" t="s">
        <v>32</v>
      </c>
      <c r="D53" s="2" t="s">
        <v>182</v>
      </c>
      <c r="E53" s="2" t="s">
        <v>183</v>
      </c>
      <c r="F53" s="2">
        <f>SUM(F54:F58)</f>
        <v>36</v>
      </c>
      <c r="G53" s="2" t="s">
        <v>160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4" t="s">
        <v>36</v>
      </c>
      <c r="AM53" s="5"/>
      <c r="AN53" s="6" t="s">
        <v>95</v>
      </c>
      <c r="AO53" s="5"/>
      <c r="AP53" s="7" t="s">
        <v>38</v>
      </c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</row>
    <row r="54" spans="1:57">
      <c r="A54" s="9" t="s">
        <v>184</v>
      </c>
      <c r="B54" s="10" t="s">
        <v>185</v>
      </c>
      <c r="C54" s="9" t="s">
        <v>47</v>
      </c>
      <c r="D54" s="9" t="s">
        <v>182</v>
      </c>
      <c r="E54" s="9" t="s">
        <v>186</v>
      </c>
      <c r="F54" s="11">
        <v>5</v>
      </c>
      <c r="G54" s="9" t="s">
        <v>176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" t="s">
        <v>54</v>
      </c>
      <c r="AM54" s="15"/>
      <c r="AN54" s="13" t="s">
        <v>44</v>
      </c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>
      <c r="A55" s="9" t="s">
        <v>187</v>
      </c>
      <c r="B55" s="10" t="s">
        <v>188</v>
      </c>
      <c r="C55" s="9" t="s">
        <v>47</v>
      </c>
      <c r="D55" s="9" t="s">
        <v>189</v>
      </c>
      <c r="E55" s="9" t="s">
        <v>190</v>
      </c>
      <c r="F55" s="11">
        <v>5</v>
      </c>
      <c r="G55" s="9" t="s">
        <v>184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2" t="s">
        <v>54</v>
      </c>
      <c r="AN55" s="15"/>
      <c r="AO55" s="13" t="s">
        <v>44</v>
      </c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>
      <c r="A56" s="9" t="s">
        <v>191</v>
      </c>
      <c r="B56" s="10" t="s">
        <v>192</v>
      </c>
      <c r="C56" s="9" t="s">
        <v>47</v>
      </c>
      <c r="D56" s="9" t="s">
        <v>186</v>
      </c>
      <c r="E56" s="9" t="s">
        <v>193</v>
      </c>
      <c r="F56" s="11">
        <v>8</v>
      </c>
      <c r="G56" s="9" t="s">
        <v>187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2" t="s">
        <v>105</v>
      </c>
      <c r="AO56" s="15"/>
      <c r="AP56" s="13" t="s">
        <v>44</v>
      </c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>
      <c r="A57" s="9" t="s">
        <v>194</v>
      </c>
      <c r="B57" s="10" t="s">
        <v>195</v>
      </c>
      <c r="C57" s="9" t="s">
        <v>47</v>
      </c>
      <c r="D57" s="9" t="s">
        <v>190</v>
      </c>
      <c r="E57" s="9" t="s">
        <v>196</v>
      </c>
      <c r="F57" s="11">
        <v>10</v>
      </c>
      <c r="G57" s="9" t="s">
        <v>178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" t="s">
        <v>122</v>
      </c>
      <c r="AP57" s="13" t="s">
        <v>44</v>
      </c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>
      <c r="A58" s="9" t="s">
        <v>197</v>
      </c>
      <c r="B58" s="10" t="s">
        <v>198</v>
      </c>
      <c r="C58" s="9" t="s">
        <v>41</v>
      </c>
      <c r="D58" s="9" t="s">
        <v>196</v>
      </c>
      <c r="E58" s="9" t="s">
        <v>183</v>
      </c>
      <c r="F58" s="11">
        <v>8</v>
      </c>
      <c r="G58" s="9" t="s">
        <v>199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3" t="s">
        <v>44</v>
      </c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>
      <c r="A59" s="2" t="s">
        <v>200</v>
      </c>
      <c r="B59" s="3" t="s">
        <v>201</v>
      </c>
      <c r="C59" s="2" t="s">
        <v>32</v>
      </c>
      <c r="D59" s="2" t="s">
        <v>202</v>
      </c>
      <c r="E59" s="2" t="s">
        <v>203</v>
      </c>
      <c r="F59" s="2">
        <f>SUM(F60:F64)</f>
        <v>39</v>
      </c>
      <c r="G59" s="2" t="s">
        <v>180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4" t="s">
        <v>36</v>
      </c>
      <c r="AR59" s="5"/>
      <c r="AS59" s="6" t="s">
        <v>95</v>
      </c>
      <c r="AT59" s="5"/>
      <c r="AU59" s="7" t="s">
        <v>38</v>
      </c>
      <c r="AV59" s="8"/>
      <c r="AW59" s="8"/>
      <c r="AX59" s="8"/>
      <c r="AY59" s="8"/>
      <c r="AZ59" s="8"/>
      <c r="BA59" s="8"/>
      <c r="BB59" s="8"/>
      <c r="BC59" s="8"/>
      <c r="BD59" s="8"/>
      <c r="BE59" s="8"/>
    </row>
    <row r="60" spans="1:57">
      <c r="A60" s="9" t="s">
        <v>204</v>
      </c>
      <c r="B60" s="10" t="s">
        <v>205</v>
      </c>
      <c r="C60" s="9" t="s">
        <v>47</v>
      </c>
      <c r="D60" s="9" t="s">
        <v>202</v>
      </c>
      <c r="E60" s="9" t="s">
        <v>206</v>
      </c>
      <c r="F60" s="11">
        <v>7</v>
      </c>
      <c r="G60" s="9" t="s">
        <v>197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2" t="s">
        <v>58</v>
      </c>
      <c r="AR60" s="15"/>
      <c r="AS60" s="13" t="s">
        <v>44</v>
      </c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>
      <c r="A61" s="9" t="s">
        <v>207</v>
      </c>
      <c r="B61" s="10" t="s">
        <v>208</v>
      </c>
      <c r="C61" s="9" t="s">
        <v>47</v>
      </c>
      <c r="D61" s="9" t="s">
        <v>209</v>
      </c>
      <c r="E61" s="9" t="s">
        <v>210</v>
      </c>
      <c r="F61" s="11">
        <v>10</v>
      </c>
      <c r="G61" s="9" t="s">
        <v>194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2" t="s">
        <v>122</v>
      </c>
      <c r="AS61" s="15"/>
      <c r="AT61" s="13" t="s">
        <v>44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>
      <c r="A62" s="9" t="s">
        <v>211</v>
      </c>
      <c r="B62" s="10" t="s">
        <v>212</v>
      </c>
      <c r="C62" s="9" t="s">
        <v>47</v>
      </c>
      <c r="D62" s="9" t="s">
        <v>206</v>
      </c>
      <c r="E62" s="9" t="s">
        <v>213</v>
      </c>
      <c r="F62" s="11">
        <v>6</v>
      </c>
      <c r="G62" s="9" t="s">
        <v>207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2" t="s">
        <v>49</v>
      </c>
      <c r="AT62" s="15"/>
      <c r="AU62" s="13" t="s">
        <v>44</v>
      </c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>
      <c r="A63" s="9" t="s">
        <v>214</v>
      </c>
      <c r="B63" s="10" t="s">
        <v>215</v>
      </c>
      <c r="C63" s="9" t="s">
        <v>47</v>
      </c>
      <c r="D63" s="9" t="s">
        <v>210</v>
      </c>
      <c r="E63" s="9" t="s">
        <v>216</v>
      </c>
      <c r="F63" s="11">
        <v>8</v>
      </c>
      <c r="G63" s="9" t="s">
        <v>191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2" t="s">
        <v>105</v>
      </c>
      <c r="AU63" s="13" t="s">
        <v>44</v>
      </c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>
      <c r="A64" s="9" t="s">
        <v>217</v>
      </c>
      <c r="B64" s="10" t="s">
        <v>218</v>
      </c>
      <c r="C64" s="9" t="s">
        <v>47</v>
      </c>
      <c r="D64" s="9" t="s">
        <v>213</v>
      </c>
      <c r="E64" s="9" t="s">
        <v>203</v>
      </c>
      <c r="F64" s="11">
        <v>8</v>
      </c>
      <c r="G64" s="9" t="s">
        <v>211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3" t="s">
        <v>44</v>
      </c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>
      <c r="A65" s="2" t="s">
        <v>219</v>
      </c>
      <c r="B65" s="3" t="s">
        <v>220</v>
      </c>
      <c r="C65" s="2" t="s">
        <v>32</v>
      </c>
      <c r="D65" s="2" t="s">
        <v>221</v>
      </c>
      <c r="E65" s="2" t="s">
        <v>222</v>
      </c>
      <c r="F65" s="2">
        <f>SUM(F66:F71)</f>
        <v>40</v>
      </c>
      <c r="G65" s="2" t="s">
        <v>200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4" t="s">
        <v>36</v>
      </c>
      <c r="AW65" s="5"/>
      <c r="AX65" s="6" t="s">
        <v>141</v>
      </c>
      <c r="AY65" s="5"/>
      <c r="AZ65" s="7" t="s">
        <v>38</v>
      </c>
      <c r="BA65" s="8"/>
      <c r="BB65" s="8"/>
      <c r="BC65" s="8"/>
      <c r="BD65" s="8"/>
      <c r="BE65" s="8"/>
    </row>
    <row r="66" spans="1:57">
      <c r="A66" s="9" t="s">
        <v>223</v>
      </c>
      <c r="B66" s="10" t="s">
        <v>224</v>
      </c>
      <c r="C66" s="9" t="s">
        <v>47</v>
      </c>
      <c r="D66" s="9" t="s">
        <v>221</v>
      </c>
      <c r="E66" s="9" t="s">
        <v>225</v>
      </c>
      <c r="F66" s="11">
        <v>5</v>
      </c>
      <c r="G66" s="9" t="s">
        <v>217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2" t="s">
        <v>54</v>
      </c>
      <c r="AW66" s="15"/>
      <c r="AX66" s="13" t="s">
        <v>44</v>
      </c>
      <c r="AY66" s="14"/>
      <c r="AZ66" s="14"/>
      <c r="BA66" s="14"/>
      <c r="BB66" s="14"/>
      <c r="BC66" s="14"/>
      <c r="BD66" s="14"/>
      <c r="BE66" s="14"/>
    </row>
    <row r="67" spans="1:57">
      <c r="A67" s="9" t="s">
        <v>226</v>
      </c>
      <c r="B67" s="10" t="s">
        <v>227</v>
      </c>
      <c r="C67" s="9" t="s">
        <v>47</v>
      </c>
      <c r="D67" s="9" t="s">
        <v>228</v>
      </c>
      <c r="E67" s="9" t="s">
        <v>229</v>
      </c>
      <c r="F67" s="11">
        <v>8</v>
      </c>
      <c r="G67" s="9" t="s">
        <v>214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2" t="s">
        <v>105</v>
      </c>
      <c r="AX67" s="15"/>
      <c r="AY67" s="13" t="s">
        <v>44</v>
      </c>
      <c r="AZ67" s="14"/>
      <c r="BA67" s="14"/>
      <c r="BB67" s="14"/>
      <c r="BC67" s="14"/>
      <c r="BD67" s="14"/>
      <c r="BE67" s="14"/>
    </row>
    <row r="68" spans="1:57">
      <c r="A68" s="9" t="s">
        <v>230</v>
      </c>
      <c r="B68" s="10" t="s">
        <v>231</v>
      </c>
      <c r="C68" s="9" t="s">
        <v>47</v>
      </c>
      <c r="D68" s="9" t="s">
        <v>225</v>
      </c>
      <c r="E68" s="9" t="s">
        <v>232</v>
      </c>
      <c r="F68" s="11">
        <v>8</v>
      </c>
      <c r="G68" s="9" t="s">
        <v>214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2" t="s">
        <v>105</v>
      </c>
      <c r="AY68" s="15"/>
      <c r="AZ68" s="13" t="s">
        <v>44</v>
      </c>
      <c r="BA68" s="14"/>
      <c r="BB68" s="14"/>
      <c r="BC68" s="14"/>
      <c r="BD68" s="14"/>
      <c r="BE68" s="14"/>
    </row>
    <row r="69" spans="1:57">
      <c r="A69" s="9" t="s">
        <v>233</v>
      </c>
      <c r="B69" s="10" t="s">
        <v>234</v>
      </c>
      <c r="C69" s="9" t="s">
        <v>47</v>
      </c>
      <c r="D69" s="9" t="s">
        <v>229</v>
      </c>
      <c r="E69" s="9" t="s">
        <v>235</v>
      </c>
      <c r="F69" s="11">
        <v>10</v>
      </c>
      <c r="G69" s="9" t="s">
        <v>207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2" t="s">
        <v>122</v>
      </c>
      <c r="AZ69" s="13" t="s">
        <v>44</v>
      </c>
      <c r="BA69" s="14"/>
      <c r="BB69" s="14"/>
      <c r="BC69" s="14"/>
      <c r="BD69" s="14"/>
      <c r="BE69" s="14"/>
    </row>
    <row r="70" spans="1:57">
      <c r="A70" s="9" t="s">
        <v>236</v>
      </c>
      <c r="B70" s="10" t="s">
        <v>237</v>
      </c>
      <c r="C70" s="9" t="s">
        <v>47</v>
      </c>
      <c r="D70" s="9" t="s">
        <v>232</v>
      </c>
      <c r="E70" s="9" t="s">
        <v>222</v>
      </c>
      <c r="F70" s="11">
        <v>6</v>
      </c>
      <c r="G70" s="9" t="s">
        <v>238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3" t="s">
        <v>44</v>
      </c>
      <c r="BA70" s="14"/>
      <c r="BB70" s="14"/>
      <c r="BC70" s="14"/>
      <c r="BD70" s="14"/>
      <c r="BE70" s="14"/>
    </row>
    <row r="71" spans="1:57">
      <c r="A71" s="9" t="s">
        <v>239</v>
      </c>
      <c r="B71" s="10" t="s">
        <v>240</v>
      </c>
      <c r="C71" s="9" t="s">
        <v>41</v>
      </c>
      <c r="D71" s="9" t="s">
        <v>235</v>
      </c>
      <c r="E71" s="9" t="s">
        <v>222</v>
      </c>
      <c r="F71" s="11">
        <v>3</v>
      </c>
      <c r="G71" s="9" t="s">
        <v>236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3" t="s">
        <v>44</v>
      </c>
      <c r="BA71" s="14"/>
      <c r="BB71" s="14"/>
      <c r="BC71" s="14"/>
      <c r="BD71" s="14"/>
      <c r="BE71" s="14"/>
    </row>
    <row r="72" spans="1:57">
      <c r="A72" s="2" t="s">
        <v>241</v>
      </c>
      <c r="B72" s="3" t="s">
        <v>242</v>
      </c>
      <c r="C72" s="2" t="s">
        <v>32</v>
      </c>
      <c r="D72" s="2" t="s">
        <v>243</v>
      </c>
      <c r="E72" s="2" t="s">
        <v>244</v>
      </c>
      <c r="F72" s="2">
        <f>SUM(F73:F78)</f>
        <v>47</v>
      </c>
      <c r="G72" s="2" t="s">
        <v>219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4" t="s">
        <v>36</v>
      </c>
      <c r="BB72" s="5"/>
      <c r="BC72" s="6" t="s">
        <v>245</v>
      </c>
      <c r="BD72" s="5"/>
      <c r="BE72" s="7" t="s">
        <v>38</v>
      </c>
    </row>
    <row r="73" spans="1:57">
      <c r="A73" s="9" t="s">
        <v>246</v>
      </c>
      <c r="B73" s="10" t="s">
        <v>247</v>
      </c>
      <c r="C73" s="9" t="s">
        <v>47</v>
      </c>
      <c r="D73" s="9" t="s">
        <v>243</v>
      </c>
      <c r="E73" s="9" t="s">
        <v>248</v>
      </c>
      <c r="F73" s="11">
        <v>8</v>
      </c>
      <c r="G73" s="9" t="s">
        <v>239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2" t="s">
        <v>105</v>
      </c>
      <c r="BB73" s="15"/>
      <c r="BC73" s="13" t="s">
        <v>44</v>
      </c>
      <c r="BD73" s="14"/>
      <c r="BE73" s="14"/>
    </row>
    <row r="74" spans="1:57">
      <c r="A74" s="9" t="s">
        <v>249</v>
      </c>
      <c r="B74" s="10" t="s">
        <v>250</v>
      </c>
      <c r="C74" s="9" t="s">
        <v>47</v>
      </c>
      <c r="D74" s="9" t="s">
        <v>251</v>
      </c>
      <c r="E74" s="9" t="s">
        <v>252</v>
      </c>
      <c r="F74" s="11">
        <v>5</v>
      </c>
      <c r="G74" s="9" t="s">
        <v>246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2" t="s">
        <v>54</v>
      </c>
      <c r="BC74" s="15"/>
      <c r="BD74" s="13" t="s">
        <v>44</v>
      </c>
      <c r="BE74" s="14"/>
    </row>
    <row r="75" spans="1:57">
      <c r="A75" s="9" t="s">
        <v>253</v>
      </c>
      <c r="B75" s="10" t="s">
        <v>254</v>
      </c>
      <c r="C75" s="9" t="s">
        <v>47</v>
      </c>
      <c r="D75" s="9" t="s">
        <v>248</v>
      </c>
      <c r="E75" s="9" t="s">
        <v>255</v>
      </c>
      <c r="F75" s="11">
        <v>8</v>
      </c>
      <c r="G75" s="9" t="s">
        <v>236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2" t="s">
        <v>105</v>
      </c>
      <c r="BD75" s="15"/>
      <c r="BE75" s="13" t="s">
        <v>44</v>
      </c>
    </row>
    <row r="76" spans="1:57">
      <c r="A76" s="9" t="s">
        <v>256</v>
      </c>
      <c r="B76" s="10" t="s">
        <v>257</v>
      </c>
      <c r="C76" s="9" t="s">
        <v>47</v>
      </c>
      <c r="D76" s="9" t="s">
        <v>252</v>
      </c>
      <c r="E76" s="9" t="s">
        <v>258</v>
      </c>
      <c r="F76" s="11">
        <v>12</v>
      </c>
      <c r="G76" s="9" t="s">
        <v>259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2" t="s">
        <v>168</v>
      </c>
      <c r="BE76" s="13" t="s">
        <v>44</v>
      </c>
    </row>
    <row r="77" spans="1:57">
      <c r="A77" s="9" t="s">
        <v>260</v>
      </c>
      <c r="B77" s="10" t="s">
        <v>261</v>
      </c>
      <c r="C77" s="9" t="s">
        <v>47</v>
      </c>
      <c r="D77" s="9" t="s">
        <v>255</v>
      </c>
      <c r="E77" s="9" t="s">
        <v>244</v>
      </c>
      <c r="F77" s="11">
        <v>8</v>
      </c>
      <c r="G77" s="9" t="s">
        <v>256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3" t="s">
        <v>44</v>
      </c>
    </row>
    <row r="78" spans="1:57">
      <c r="A78" s="9" t="s">
        <v>262</v>
      </c>
      <c r="B78" s="10" t="s">
        <v>263</v>
      </c>
      <c r="C78" s="9" t="s">
        <v>41</v>
      </c>
      <c r="D78" s="9" t="s">
        <v>258</v>
      </c>
      <c r="E78" s="9" t="s">
        <v>244</v>
      </c>
      <c r="F78" s="11">
        <v>6</v>
      </c>
      <c r="G78" s="9" t="s">
        <v>260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3" t="s">
        <v>44</v>
      </c>
    </row>
    <row r="79" spans="1:57">
      <c r="A79" s="16" t="s">
        <v>264</v>
      </c>
      <c r="B79" s="17" t="s">
        <v>265</v>
      </c>
      <c r="C79" s="16" t="s">
        <v>266</v>
      </c>
      <c r="D79" s="18"/>
      <c r="E79" s="18"/>
      <c r="F79" s="16">
        <f>SUM(F10:F78)/2</f>
        <v>388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</row>
  </sheetData>
  <mergeCells count="25">
    <mergeCell ref="A4:D4"/>
    <mergeCell ref="E5:G5"/>
    <mergeCell ref="E4:G4"/>
    <mergeCell ref="H8:L8"/>
    <mergeCell ref="W8:AA8"/>
    <mergeCell ref="A5:D5"/>
    <mergeCell ref="R8:V8"/>
    <mergeCell ref="E8:E9"/>
    <mergeCell ref="G8:G9"/>
    <mergeCell ref="AG8:AK8"/>
    <mergeCell ref="A1:BH1"/>
    <mergeCell ref="B8:B9"/>
    <mergeCell ref="E6:G6"/>
    <mergeCell ref="BA8:BE8"/>
    <mergeCell ref="AV8:AZ8"/>
    <mergeCell ref="F8:F9"/>
    <mergeCell ref="A8:A9"/>
    <mergeCell ref="A2:BH2"/>
    <mergeCell ref="A6:D6"/>
    <mergeCell ref="C8:C9"/>
    <mergeCell ref="AQ8:AU8"/>
    <mergeCell ref="D8:D9"/>
    <mergeCell ref="AB8:AF8"/>
    <mergeCell ref="M8:Q8"/>
    <mergeCell ref="AL8:A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2026-10-05T18:02:57Z</dcterms:created>
  <dcterms:modified xsi:type="dcterms:W3CDTF">2026-10-07T08:29:55Z</dcterms:modified>
  <cp:category/>
  <cp:contentStatus/>
</cp:coreProperties>
</file>